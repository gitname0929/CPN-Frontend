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ROG\Desktop\709实验截图\"/>
    </mc:Choice>
  </mc:AlternateContent>
  <xr:revisionPtr revIDLastSave="0" documentId="8_{B4052464-3F37-45C9-A784-0401E2F920EE}" xr6:coauthVersionLast="47" xr6:coauthVersionMax="47" xr10:uidLastSave="{00000000-0000-0000-0000-000000000000}"/>
  <bookViews>
    <workbookView xWindow="-110" yWindow="-110" windowWidth="25820" windowHeight="15500" xr2:uid="{8645DF21-299E-403B-8DD5-0E8033F0B29A}"/>
  </bookViews>
  <sheets>
    <sheet name="（飞+昇）2v1（昇）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I19" i="6"/>
  <c r="I20" i="6"/>
  <c r="I21" i="6"/>
  <c r="I22" i="6"/>
  <c r="I23" i="6"/>
  <c r="I24" i="6"/>
  <c r="I25" i="6"/>
  <c r="I26" i="6"/>
  <c r="N7" i="6" l="1"/>
  <c r="N9" i="6"/>
  <c r="N11" i="6"/>
  <c r="N13" i="6"/>
  <c r="N15" i="6"/>
  <c r="N17" i="6"/>
  <c r="N19" i="6"/>
  <c r="N21" i="6"/>
  <c r="N23" i="6"/>
  <c r="O23" i="6" s="1"/>
  <c r="N25" i="6"/>
  <c r="O25" i="6" s="1"/>
  <c r="N5" i="6"/>
  <c r="O5" i="6" s="1"/>
  <c r="K25" i="6"/>
  <c r="K23" i="6"/>
  <c r="K21" i="6"/>
  <c r="K19" i="6"/>
  <c r="K17" i="6"/>
  <c r="O17" i="6" s="1"/>
  <c r="I17" i="6"/>
  <c r="I16" i="6"/>
  <c r="K15" i="6"/>
  <c r="I15" i="6"/>
  <c r="I14" i="6"/>
  <c r="K13" i="6"/>
  <c r="O13" i="6" s="1"/>
  <c r="I13" i="6"/>
  <c r="I12" i="6"/>
  <c r="K11" i="6"/>
  <c r="I11" i="6"/>
  <c r="I10" i="6"/>
  <c r="K9" i="6"/>
  <c r="I9" i="6"/>
  <c r="I8" i="6"/>
  <c r="K7" i="6"/>
  <c r="I7" i="6"/>
  <c r="I6" i="6"/>
  <c r="K5" i="6"/>
  <c r="I5" i="6"/>
  <c r="O9" i="6" l="1"/>
  <c r="O21" i="6"/>
  <c r="O19" i="6"/>
  <c r="O15" i="6"/>
  <c r="O11" i="6"/>
  <c r="O7" i="6"/>
</calcChain>
</file>

<file path=xl/sharedStrings.xml><?xml version="1.0" encoding="utf-8"?>
<sst xmlns="http://schemas.openxmlformats.org/spreadsheetml/2006/main" count="62" uniqueCount="41">
  <si>
    <t>模型</t>
  </si>
  <si>
    <t>切分点</t>
  </si>
  <si>
    <t>deit_tiny_patch_16_224</t>
    <phoneticPr fontId="3" type="noConversion"/>
  </si>
  <si>
    <t>levit_128</t>
    <phoneticPr fontId="3" type="noConversion"/>
  </si>
  <si>
    <t>resnet50</t>
  </si>
  <si>
    <t>mobilevgg</t>
    <phoneticPr fontId="3" type="noConversion"/>
  </si>
  <si>
    <t>lightvgg11</t>
    <phoneticPr fontId="3" type="noConversion"/>
  </si>
  <si>
    <t>yolov5s</t>
  </si>
  <si>
    <t>yolov8n</t>
  </si>
  <si>
    <t>总时延ms</t>
    <phoneticPr fontId="2" type="noConversion"/>
  </si>
  <si>
    <t>Baseline（全本地）</t>
    <phoneticPr fontId="2" type="noConversion"/>
  </si>
  <si>
    <t>0</t>
    <phoneticPr fontId="2" type="noConversion"/>
  </si>
  <si>
    <t>4</t>
    <phoneticPr fontId="2" type="noConversion"/>
  </si>
  <si>
    <t>3</t>
    <phoneticPr fontId="2" type="noConversion"/>
  </si>
  <si>
    <t>飞腾</t>
    <phoneticPr fontId="2" type="noConversion"/>
  </si>
  <si>
    <t>昇腾</t>
    <phoneticPr fontId="2" type="noConversion"/>
  </si>
  <si>
    <t>1</t>
    <phoneticPr fontId="2" type="noConversion"/>
  </si>
  <si>
    <t>时延结果表</t>
  </si>
  <si>
    <t>完整本地模型内存 MiB</t>
  </si>
  <si>
    <t>拆分后 client/head 内存 MiB</t>
  </si>
  <si>
    <t>84</t>
    <phoneticPr fontId="2" type="noConversion"/>
  </si>
  <si>
    <t>mobilenet_v3_large</t>
    <phoneticPr fontId="3" type="noConversion"/>
  </si>
  <si>
    <t>resnet101</t>
    <phoneticPr fontId="3" type="noConversion"/>
  </si>
  <si>
    <t>mobilenet_v2</t>
    <phoneticPr fontId="3" type="noConversion"/>
  </si>
  <si>
    <t>resnet18</t>
    <phoneticPr fontId="3" type="noConversion"/>
  </si>
  <si>
    <t>内存结果表</t>
    <phoneticPr fontId="2" type="noConversion"/>
  </si>
  <si>
    <t>baseline</t>
    <phoneticPr fontId="2" type="noConversion"/>
  </si>
  <si>
    <t>server占用</t>
    <phoneticPr fontId="2" type="noConversion"/>
  </si>
  <si>
    <t>有切割有并行</t>
    <phoneticPr fontId="2" type="noConversion"/>
  </si>
  <si>
    <t>时延提升</t>
    <phoneticPr fontId="2" type="noConversion"/>
  </si>
  <si>
    <t>内存提升</t>
    <phoneticPr fontId="2" type="noConversion"/>
  </si>
  <si>
    <t>47</t>
    <phoneticPr fontId="2" type="noConversion"/>
  </si>
  <si>
    <t>15</t>
    <phoneticPr fontId="2" type="noConversion"/>
  </si>
  <si>
    <t>7</t>
    <phoneticPr fontId="2" type="noConversion"/>
  </si>
  <si>
    <t>飞腾88 client1，昇腾32client2 ，server是昇腾13</t>
    <phoneticPr fontId="2" type="noConversion"/>
  </si>
  <si>
    <t>43</t>
    <phoneticPr fontId="2" type="noConversion"/>
  </si>
  <si>
    <t>26</t>
    <phoneticPr fontId="2" type="noConversion"/>
  </si>
  <si>
    <t>34</t>
    <phoneticPr fontId="2" type="noConversion"/>
  </si>
  <si>
    <t>10</t>
    <phoneticPr fontId="2" type="noConversion"/>
  </si>
  <si>
    <t>99</t>
    <phoneticPr fontId="2" type="noConversion"/>
  </si>
  <si>
    <t>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</si>
</sst>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4"/>
      <color theme="1"/>
      <name val="黑体"/>
      <family val="3"/>
      <charset val="134"/>
    </font>
    <font>
      <sz val="14"/>
      <name val="宋体"/>
      <family val="3"/>
      <charset val="134"/>
    </font>
    <font>
      <b/>
      <sz val="14"/>
      <color rgb="FFC00000"/>
      <name val="宋体"/>
      <family val="3"/>
      <charset val="134"/>
    </font>
    <font>
      <sz val="14"/>
      <color rgb="FFC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2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5" fillId="6" borderId="2" xfId="0" applyNumberFormat="1" applyFont="1" applyFill="1" applyBorder="1" applyAlignment="1">
      <alignment horizontal="center" vertical="center"/>
    </xf>
    <xf numFmtId="10" fontId="5" fillId="6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3">
    <cellStyle name="常规" xfId="0" builtinId="0"/>
    <cellStyle name="好" xfId="1" builtinId="26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332D-D21D-4CC1-84B3-833FC2D892CE}">
  <dimension ref="A1:O26"/>
  <sheetViews>
    <sheetView tabSelected="1" topLeftCell="A4" zoomScale="85" zoomScaleNormal="85" workbookViewId="0">
      <selection activeCell="I16" sqref="I16"/>
    </sheetView>
  </sheetViews>
  <sheetFormatPr defaultRowHeight="14" x14ac:dyDescent="0.3"/>
  <cols>
    <col min="1" max="1" width="32.9140625" bestFit="1" customWidth="1"/>
    <col min="2" max="2" width="15.75" customWidth="1"/>
    <col min="3" max="3" width="11.58203125" customWidth="1"/>
    <col min="4" max="7" width="15.75" customWidth="1"/>
    <col min="8" max="8" width="16.75" bestFit="1" customWidth="1"/>
    <col min="9" max="11" width="15.75" customWidth="1"/>
    <col min="12" max="12" width="21.9140625" customWidth="1"/>
    <col min="13" max="13" width="15.75" customWidth="1"/>
    <col min="14" max="14" width="17.6640625" customWidth="1"/>
    <col min="15" max="15" width="13.58203125" customWidth="1"/>
  </cols>
  <sheetData>
    <row r="1" spans="1:15" ht="42.65" customHeight="1" x14ac:dyDescent="0.3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3">
      <c r="A2" s="26"/>
      <c r="B2" s="26"/>
      <c r="C2" s="26"/>
      <c r="D2" s="26"/>
      <c r="E2" s="26"/>
      <c r="F2" s="26"/>
      <c r="G2" s="26"/>
      <c r="H2" s="26"/>
      <c r="I2" s="26"/>
      <c r="J2" s="1"/>
      <c r="K2" s="1"/>
      <c r="L2" s="1"/>
      <c r="M2" s="1"/>
      <c r="N2" s="1"/>
      <c r="O2" s="15"/>
    </row>
    <row r="3" spans="1:15" ht="20" customHeight="1" x14ac:dyDescent="0.3">
      <c r="A3" s="27" t="s">
        <v>17</v>
      </c>
      <c r="B3" s="27"/>
      <c r="C3" s="27"/>
      <c r="D3" s="27"/>
      <c r="E3" s="27"/>
      <c r="F3" s="27"/>
      <c r="G3" s="27"/>
      <c r="H3" s="27"/>
      <c r="I3" s="27"/>
      <c r="J3" s="28" t="s">
        <v>25</v>
      </c>
      <c r="K3" s="29"/>
      <c r="L3" s="29"/>
      <c r="M3" s="29"/>
      <c r="N3" s="29"/>
      <c r="O3" s="29"/>
    </row>
    <row r="4" spans="1:15" ht="65.400000000000006" customHeight="1" x14ac:dyDescent="0.3">
      <c r="A4" s="4" t="s">
        <v>0</v>
      </c>
      <c r="B4" s="4"/>
      <c r="C4" s="4" t="s">
        <v>1</v>
      </c>
      <c r="D4" s="4"/>
      <c r="E4" s="4"/>
      <c r="F4" s="4"/>
      <c r="G4" s="5" t="s">
        <v>9</v>
      </c>
      <c r="H4" s="4" t="s">
        <v>10</v>
      </c>
      <c r="I4" s="3" t="s">
        <v>29</v>
      </c>
      <c r="J4" s="3" t="s">
        <v>18</v>
      </c>
      <c r="K4" s="3" t="s">
        <v>26</v>
      </c>
      <c r="L4" s="18" t="s">
        <v>19</v>
      </c>
      <c r="M4" s="3" t="s">
        <v>27</v>
      </c>
      <c r="N4" s="18" t="s">
        <v>28</v>
      </c>
      <c r="O4" s="3" t="s">
        <v>30</v>
      </c>
    </row>
    <row r="5" spans="1:15" ht="20" customHeight="1" x14ac:dyDescent="0.3">
      <c r="A5" s="30" t="s">
        <v>2</v>
      </c>
      <c r="B5" s="13" t="s">
        <v>14</v>
      </c>
      <c r="C5" s="6">
        <v>165</v>
      </c>
      <c r="D5" s="6"/>
      <c r="E5" s="6"/>
      <c r="F5" s="6"/>
      <c r="G5" s="6">
        <v>287.79000000000002</v>
      </c>
      <c r="H5" s="6">
        <v>364.19765520095802</v>
      </c>
      <c r="I5" s="2">
        <f t="shared" ref="I5:I26" si="0">(H5-G5)/H5</f>
        <v>0.20979721892717176</v>
      </c>
      <c r="J5" s="16">
        <v>159</v>
      </c>
      <c r="K5" s="32">
        <f>J5*2+J6*2</f>
        <v>877.6</v>
      </c>
      <c r="L5" s="9">
        <v>85.56</v>
      </c>
      <c r="M5" s="21">
        <v>202.16</v>
      </c>
      <c r="N5" s="23">
        <f>L5+L6+M5</f>
        <v>338.72</v>
      </c>
      <c r="O5" s="19">
        <f>(K5-N5)/K5</f>
        <v>0.61403828623518686</v>
      </c>
    </row>
    <row r="6" spans="1:15" ht="20" customHeight="1" x14ac:dyDescent="0.3">
      <c r="A6" s="31"/>
      <c r="B6" s="14" t="s">
        <v>15</v>
      </c>
      <c r="C6" s="7" t="s">
        <v>40</v>
      </c>
      <c r="D6" s="6"/>
      <c r="E6" s="6"/>
      <c r="F6" s="6"/>
      <c r="G6" s="6">
        <v>269.95999999999998</v>
      </c>
      <c r="H6" s="6">
        <v>587.92472124099697</v>
      </c>
      <c r="I6" s="2">
        <f t="shared" si="0"/>
        <v>0.54082556788874958</v>
      </c>
      <c r="J6" s="17">
        <v>279.8</v>
      </c>
      <c r="K6" s="33"/>
      <c r="L6" s="6">
        <v>51</v>
      </c>
      <c r="M6" s="22"/>
      <c r="N6" s="24"/>
      <c r="O6" s="20"/>
    </row>
    <row r="7" spans="1:15" ht="20" customHeight="1" x14ac:dyDescent="0.3">
      <c r="A7" s="30" t="s">
        <v>3</v>
      </c>
      <c r="B7" s="13" t="s">
        <v>14</v>
      </c>
      <c r="C7" s="6">
        <v>4</v>
      </c>
      <c r="D7" s="6"/>
      <c r="E7" s="6"/>
      <c r="F7" s="6"/>
      <c r="G7" s="6">
        <v>82.38</v>
      </c>
      <c r="H7" s="6">
        <v>655.98590755462601</v>
      </c>
      <c r="I7" s="2">
        <f t="shared" si="0"/>
        <v>0.87441803390701656</v>
      </c>
      <c r="J7" s="17">
        <v>175.5</v>
      </c>
      <c r="K7" s="32">
        <f t="shared" ref="K7" si="1">J7*2+J8*2</f>
        <v>1070.4000000000001</v>
      </c>
      <c r="L7" s="9">
        <v>31.14</v>
      </c>
      <c r="M7" s="21">
        <v>550.01</v>
      </c>
      <c r="N7" s="23">
        <f t="shared" ref="N7" si="2">L7+L8+M7</f>
        <v>650.72</v>
      </c>
      <c r="O7" s="19">
        <f t="shared" ref="O7" si="3">(K7-N7)/K7</f>
        <v>0.39207772795216744</v>
      </c>
    </row>
    <row r="8" spans="1:15" ht="20" customHeight="1" x14ac:dyDescent="0.3">
      <c r="A8" s="31"/>
      <c r="B8" s="14" t="s">
        <v>15</v>
      </c>
      <c r="C8" s="7" t="s">
        <v>20</v>
      </c>
      <c r="D8" s="6"/>
      <c r="E8" s="6"/>
      <c r="F8" s="6"/>
      <c r="G8" s="6">
        <v>81.25</v>
      </c>
      <c r="H8" s="6">
        <v>267.511060714721</v>
      </c>
      <c r="I8" s="2">
        <f t="shared" si="0"/>
        <v>0.69627424083729161</v>
      </c>
      <c r="J8" s="17">
        <v>359.7</v>
      </c>
      <c r="K8" s="33"/>
      <c r="L8" s="6">
        <v>69.569999999999993</v>
      </c>
      <c r="M8" s="22"/>
      <c r="N8" s="24"/>
      <c r="O8" s="20"/>
    </row>
    <row r="9" spans="1:15" ht="20" customHeight="1" x14ac:dyDescent="0.3">
      <c r="A9" s="30" t="s">
        <v>23</v>
      </c>
      <c r="B9" s="13" t="s">
        <v>14</v>
      </c>
      <c r="C9" s="6">
        <v>5</v>
      </c>
      <c r="D9" s="6"/>
      <c r="E9" s="6"/>
      <c r="F9" s="6"/>
      <c r="G9" s="6">
        <v>101.55</v>
      </c>
      <c r="H9" s="6">
        <v>379.21</v>
      </c>
      <c r="I9" s="2">
        <f t="shared" si="0"/>
        <v>0.73220642915534928</v>
      </c>
      <c r="J9" s="17">
        <v>134.4</v>
      </c>
      <c r="K9" s="32">
        <f t="shared" ref="K9" si="4">J9*2+J10*2</f>
        <v>765.40000000000009</v>
      </c>
      <c r="L9" s="9">
        <v>40.25</v>
      </c>
      <c r="M9" s="21">
        <v>330.67</v>
      </c>
      <c r="N9" s="23">
        <f t="shared" ref="N9" si="5">L9+L10+M9</f>
        <v>417.31</v>
      </c>
      <c r="O9" s="19">
        <f t="shared" ref="O9" si="6">(K9-N9)/K9</f>
        <v>0.45478181343088586</v>
      </c>
    </row>
    <row r="10" spans="1:15" ht="20" customHeight="1" x14ac:dyDescent="0.3">
      <c r="A10" s="31"/>
      <c r="B10" s="14" t="s">
        <v>15</v>
      </c>
      <c r="C10" s="7" t="s">
        <v>31</v>
      </c>
      <c r="D10" s="6"/>
      <c r="E10" s="6"/>
      <c r="F10" s="6"/>
      <c r="G10" s="6">
        <v>108.66</v>
      </c>
      <c r="H10" s="6">
        <v>243.629966974258</v>
      </c>
      <c r="I10" s="2">
        <f t="shared" si="0"/>
        <v>0.55399575286450276</v>
      </c>
      <c r="J10" s="17">
        <v>248.3</v>
      </c>
      <c r="K10" s="33"/>
      <c r="L10" s="6">
        <v>46.39</v>
      </c>
      <c r="M10" s="22"/>
      <c r="N10" s="24"/>
      <c r="O10" s="20"/>
    </row>
    <row r="11" spans="1:15" ht="20" customHeight="1" x14ac:dyDescent="0.3">
      <c r="A11" s="30" t="s">
        <v>21</v>
      </c>
      <c r="B11" s="13" t="s">
        <v>14</v>
      </c>
      <c r="C11" s="6">
        <v>67</v>
      </c>
      <c r="D11" s="6"/>
      <c r="E11" s="6"/>
      <c r="F11" s="6"/>
      <c r="G11" s="6">
        <v>71.400000000000006</v>
      </c>
      <c r="H11" s="6">
        <v>294.92</v>
      </c>
      <c r="I11" s="2">
        <f t="shared" si="0"/>
        <v>0.75790044757900443</v>
      </c>
      <c r="J11" s="17">
        <v>144.30000000000001</v>
      </c>
      <c r="K11" s="32">
        <f t="shared" ref="K11" si="7">J11*2+J12*2</f>
        <v>860.80000000000007</v>
      </c>
      <c r="L11" s="9">
        <v>38.74</v>
      </c>
      <c r="M11" s="21">
        <v>358.96</v>
      </c>
      <c r="N11" s="23">
        <f t="shared" ref="N11" si="8">L11+L12+M11</f>
        <v>438.69</v>
      </c>
      <c r="O11" s="19">
        <f t="shared" ref="O11" si="9">(K11-N11)/K11</f>
        <v>0.49036942379182158</v>
      </c>
    </row>
    <row r="12" spans="1:15" ht="20" customHeight="1" x14ac:dyDescent="0.3">
      <c r="A12" s="31"/>
      <c r="B12" s="14" t="s">
        <v>15</v>
      </c>
      <c r="C12" s="7" t="s">
        <v>39</v>
      </c>
      <c r="D12" s="6"/>
      <c r="E12" s="6"/>
      <c r="F12" s="6"/>
      <c r="G12" s="6">
        <v>27.58</v>
      </c>
      <c r="H12" s="6">
        <v>231.17126893997099</v>
      </c>
      <c r="I12" s="2">
        <f t="shared" si="0"/>
        <v>0.88069451655273912</v>
      </c>
      <c r="J12" s="17">
        <v>286.10000000000002</v>
      </c>
      <c r="K12" s="33"/>
      <c r="L12" s="6">
        <v>40.99</v>
      </c>
      <c r="M12" s="22"/>
      <c r="N12" s="24"/>
      <c r="O12" s="20"/>
    </row>
    <row r="13" spans="1:15" ht="20" customHeight="1" x14ac:dyDescent="0.3">
      <c r="A13" s="30" t="s">
        <v>22</v>
      </c>
      <c r="B13" s="13" t="s">
        <v>14</v>
      </c>
      <c r="C13" s="6">
        <v>4</v>
      </c>
      <c r="D13" s="6"/>
      <c r="E13" s="6"/>
      <c r="F13" s="6"/>
      <c r="G13" s="6">
        <v>1699.28</v>
      </c>
      <c r="H13" s="6">
        <v>6340.6103987693696</v>
      </c>
      <c r="I13" s="2">
        <f t="shared" si="0"/>
        <v>0.73200056569793215</v>
      </c>
      <c r="J13" s="17">
        <v>312.7</v>
      </c>
      <c r="K13" s="32">
        <f t="shared" ref="K13" si="10">J13*2+J14*2</f>
        <v>2749.1600000000003</v>
      </c>
      <c r="L13" s="9">
        <v>31.33</v>
      </c>
      <c r="M13" s="21">
        <v>1224.5999999999999</v>
      </c>
      <c r="N13" s="23">
        <f t="shared" ref="N13" si="11">L13+L14+M13</f>
        <v>1306.05</v>
      </c>
      <c r="O13" s="19">
        <f t="shared" ref="O13" si="12">(K13-N13)/K13</f>
        <v>0.52492761425308099</v>
      </c>
    </row>
    <row r="14" spans="1:15" ht="20" customHeight="1" x14ac:dyDescent="0.3">
      <c r="A14" s="31"/>
      <c r="B14" s="14" t="s">
        <v>15</v>
      </c>
      <c r="C14" s="7" t="s">
        <v>38</v>
      </c>
      <c r="D14" s="6"/>
      <c r="E14" s="6"/>
      <c r="F14" s="6"/>
      <c r="G14" s="6">
        <v>1698.55</v>
      </c>
      <c r="H14" s="6">
        <v>2329.2372322082501</v>
      </c>
      <c r="I14" s="2">
        <f t="shared" si="0"/>
        <v>0.27076985696743416</v>
      </c>
      <c r="J14" s="17">
        <v>1061.8800000000001</v>
      </c>
      <c r="K14" s="33"/>
      <c r="L14" s="6">
        <v>50.12</v>
      </c>
      <c r="M14" s="22"/>
      <c r="N14" s="24"/>
      <c r="O14" s="20"/>
    </row>
    <row r="15" spans="1:15" ht="20" customHeight="1" x14ac:dyDescent="0.3">
      <c r="A15" s="30" t="s">
        <v>24</v>
      </c>
      <c r="B15" s="13" t="s">
        <v>14</v>
      </c>
      <c r="C15" s="6">
        <v>3</v>
      </c>
      <c r="D15" s="6"/>
      <c r="E15" s="6"/>
      <c r="F15" s="6"/>
      <c r="G15" s="6">
        <v>521.23</v>
      </c>
      <c r="H15" s="6">
        <v>932.69310259818997</v>
      </c>
      <c r="I15" s="2">
        <f t="shared" si="0"/>
        <v>0.44115594020367793</v>
      </c>
      <c r="J15" s="17">
        <v>166.8</v>
      </c>
      <c r="K15" s="32">
        <f t="shared" ref="K15" si="13">J15*2+J16*2</f>
        <v>667.2</v>
      </c>
      <c r="L15" s="9">
        <v>38.69</v>
      </c>
      <c r="M15" s="21">
        <v>414.97</v>
      </c>
      <c r="N15" s="23">
        <f t="shared" ref="N15" si="14">L15+L16+M15</f>
        <v>491.22</v>
      </c>
      <c r="O15" s="19">
        <f t="shared" ref="O15" si="15">(K15-N15)/K15</f>
        <v>0.26375899280575543</v>
      </c>
    </row>
    <row r="16" spans="1:15" ht="20" customHeight="1" x14ac:dyDescent="0.3">
      <c r="A16" s="31"/>
      <c r="B16" s="14" t="s">
        <v>15</v>
      </c>
      <c r="C16" s="7" t="s">
        <v>32</v>
      </c>
      <c r="D16" s="6"/>
      <c r="E16" s="6"/>
      <c r="F16" s="6"/>
      <c r="G16" s="6">
        <v>518.66999999999996</v>
      </c>
      <c r="H16" s="6">
        <v>511.04857254028298</v>
      </c>
      <c r="I16" s="2">
        <f t="shared" si="0"/>
        <v>-1.4913313272421342E-2</v>
      </c>
      <c r="J16" s="17">
        <v>166.8</v>
      </c>
      <c r="K16" s="33"/>
      <c r="L16" s="6">
        <v>37.56</v>
      </c>
      <c r="M16" s="22"/>
      <c r="N16" s="24"/>
      <c r="O16" s="20"/>
    </row>
    <row r="17" spans="1:15" ht="20" customHeight="1" x14ac:dyDescent="0.3">
      <c r="A17" s="30" t="s">
        <v>4</v>
      </c>
      <c r="B17" s="13" t="s">
        <v>14</v>
      </c>
      <c r="C17" s="8" t="s">
        <v>12</v>
      </c>
      <c r="D17" s="9"/>
      <c r="E17" s="9"/>
      <c r="F17" s="9"/>
      <c r="G17" s="6">
        <v>781.06</v>
      </c>
      <c r="H17" s="6">
        <v>3203.69089150428</v>
      </c>
      <c r="I17" s="2">
        <f t="shared" si="0"/>
        <v>0.7561999498543206</v>
      </c>
      <c r="J17" s="17">
        <v>238.1</v>
      </c>
      <c r="K17" s="32">
        <f t="shared" ref="K17" si="16">J17*2+J18*2</f>
        <v>2696.232</v>
      </c>
      <c r="L17" s="9">
        <v>33.369999999999997</v>
      </c>
      <c r="M17" s="21">
        <v>419.89</v>
      </c>
      <c r="N17" s="23">
        <f t="shared" ref="N17" si="17">L17+L18+M17</f>
        <v>513.15</v>
      </c>
      <c r="O17" s="19">
        <f t="shared" ref="O17" si="18">(K17-N17)/K17</f>
        <v>0.80967884069323404</v>
      </c>
    </row>
    <row r="18" spans="1:15" ht="20" customHeight="1" x14ac:dyDescent="0.3">
      <c r="A18" s="31"/>
      <c r="B18" s="14" t="s">
        <v>15</v>
      </c>
      <c r="C18" s="8" t="s">
        <v>37</v>
      </c>
      <c r="D18" s="9"/>
      <c r="E18" s="9"/>
      <c r="F18" s="9"/>
      <c r="G18" s="6">
        <v>780.54</v>
      </c>
      <c r="H18" s="6">
        <v>1220.93445301055</v>
      </c>
      <c r="I18" s="2">
        <f t="shared" si="0"/>
        <v>0.36070278132018985</v>
      </c>
      <c r="J18" s="17">
        <v>1110.0160000000001</v>
      </c>
      <c r="K18" s="33"/>
      <c r="L18" s="9">
        <v>59.89</v>
      </c>
      <c r="M18" s="22"/>
      <c r="N18" s="24"/>
      <c r="O18" s="20"/>
    </row>
    <row r="19" spans="1:15" ht="20" customHeight="1" x14ac:dyDescent="0.3">
      <c r="A19" s="30" t="s">
        <v>5</v>
      </c>
      <c r="B19" s="13" t="s">
        <v>14</v>
      </c>
      <c r="C19" s="8" t="s">
        <v>11</v>
      </c>
      <c r="D19" s="9"/>
      <c r="E19" s="9"/>
      <c r="F19" s="9"/>
      <c r="G19" s="6">
        <v>1211.51</v>
      </c>
      <c r="H19" s="6">
        <v>2488.2976899147002</v>
      </c>
      <c r="I19" s="2">
        <f t="shared" si="0"/>
        <v>0.51311693737033082</v>
      </c>
      <c r="J19" s="17">
        <v>217.8</v>
      </c>
      <c r="K19" s="32">
        <f t="shared" ref="K19" si="19">J19*2+J20*2</f>
        <v>933</v>
      </c>
      <c r="L19" s="9">
        <v>27.62</v>
      </c>
      <c r="M19" s="21">
        <v>574.46</v>
      </c>
      <c r="N19" s="23">
        <f t="shared" ref="N19" si="20">L19+L20+M19</f>
        <v>632.96</v>
      </c>
      <c r="O19" s="19">
        <f t="shared" ref="O19" si="21">(K19-N19)/K19</f>
        <v>0.32158628081457657</v>
      </c>
    </row>
    <row r="20" spans="1:15" ht="20" customHeight="1" x14ac:dyDescent="0.3">
      <c r="A20" s="31"/>
      <c r="B20" s="14" t="s">
        <v>15</v>
      </c>
      <c r="C20" s="8" t="s">
        <v>11</v>
      </c>
      <c r="D20" s="9"/>
      <c r="E20" s="9"/>
      <c r="F20" s="9"/>
      <c r="G20" s="6">
        <v>1207.3900000000001</v>
      </c>
      <c r="H20" s="6">
        <v>1462.1757798194801</v>
      </c>
      <c r="I20" s="2">
        <f t="shared" si="0"/>
        <v>0.174251128582458</v>
      </c>
      <c r="J20" s="17">
        <v>248.7</v>
      </c>
      <c r="K20" s="33"/>
      <c r="L20" s="9">
        <v>30.88</v>
      </c>
      <c r="M20" s="22"/>
      <c r="N20" s="24"/>
      <c r="O20" s="20"/>
    </row>
    <row r="21" spans="1:15" ht="20" customHeight="1" x14ac:dyDescent="0.3">
      <c r="A21" s="30" t="s">
        <v>6</v>
      </c>
      <c r="B21" s="13" t="s">
        <v>14</v>
      </c>
      <c r="C21" s="8" t="s">
        <v>16</v>
      </c>
      <c r="D21" s="9"/>
      <c r="E21" s="9"/>
      <c r="F21" s="9"/>
      <c r="G21" s="6">
        <v>1981.16</v>
      </c>
      <c r="H21" s="6">
        <v>2329.5895066261201</v>
      </c>
      <c r="I21" s="2">
        <f t="shared" si="0"/>
        <v>0.1495669110953117</v>
      </c>
      <c r="J21" s="17">
        <v>1154.048</v>
      </c>
      <c r="K21" s="32">
        <f t="shared" ref="K21" si="22">J21*2+J22*2</f>
        <v>6404.0959999999995</v>
      </c>
      <c r="L21" s="9">
        <v>99.57</v>
      </c>
      <c r="M21" s="21">
        <v>2015.84</v>
      </c>
      <c r="N21" s="23">
        <f t="shared" ref="N21" si="23">L21+L22+M21</f>
        <v>3617.41</v>
      </c>
      <c r="O21" s="19">
        <f t="shared" ref="O21" si="24">(K21-N21)/K21</f>
        <v>0.43514119713383431</v>
      </c>
    </row>
    <row r="22" spans="1:15" ht="20" customHeight="1" x14ac:dyDescent="0.3">
      <c r="A22" s="31"/>
      <c r="B22" s="14" t="s">
        <v>15</v>
      </c>
      <c r="C22" s="8" t="s">
        <v>36</v>
      </c>
      <c r="D22" s="9"/>
      <c r="E22" s="9"/>
      <c r="F22" s="9"/>
      <c r="G22" s="6">
        <v>989.57</v>
      </c>
      <c r="H22" s="6">
        <v>1097.12013339996</v>
      </c>
      <c r="I22" s="2">
        <f t="shared" si="0"/>
        <v>9.8029495700405714E-2</v>
      </c>
      <c r="J22" s="17">
        <v>2048</v>
      </c>
      <c r="K22" s="33"/>
      <c r="L22" s="9">
        <v>1502</v>
      </c>
      <c r="M22" s="22"/>
      <c r="N22" s="24"/>
      <c r="O22" s="20"/>
    </row>
    <row r="23" spans="1:15" ht="20" customHeight="1" x14ac:dyDescent="0.3">
      <c r="A23" s="30" t="s">
        <v>7</v>
      </c>
      <c r="B23" s="13" t="s">
        <v>14</v>
      </c>
      <c r="C23" s="8" t="s">
        <v>13</v>
      </c>
      <c r="D23" s="9"/>
      <c r="E23" s="9"/>
      <c r="F23" s="9"/>
      <c r="G23" s="6">
        <v>351.84</v>
      </c>
      <c r="H23" s="6">
        <v>1449.5056755542701</v>
      </c>
      <c r="I23" s="2">
        <f t="shared" si="0"/>
        <v>0.75726897387589642</v>
      </c>
      <c r="J23" s="17">
        <v>164.8</v>
      </c>
      <c r="K23" s="32">
        <f t="shared" ref="K23" si="25">J23*2+J24*2</f>
        <v>1046.4000000000001</v>
      </c>
      <c r="L23" s="9">
        <v>32.229999999999997</v>
      </c>
      <c r="M23" s="21">
        <v>509.1</v>
      </c>
      <c r="N23" s="23">
        <f t="shared" ref="N23" si="26">L23+L24+M23</f>
        <v>578.92000000000007</v>
      </c>
      <c r="O23" s="19">
        <f t="shared" ref="O23" si="27">(K23-N23)/K23</f>
        <v>0.44675076452599388</v>
      </c>
    </row>
    <row r="24" spans="1:15" ht="20" customHeight="1" x14ac:dyDescent="0.3">
      <c r="A24" s="31"/>
      <c r="B24" s="14" t="s">
        <v>15</v>
      </c>
      <c r="C24" s="8" t="s">
        <v>35</v>
      </c>
      <c r="D24" s="9"/>
      <c r="E24" s="9"/>
      <c r="F24" s="9"/>
      <c r="G24" s="6">
        <v>350.46</v>
      </c>
      <c r="H24" s="6">
        <v>624.22130250930695</v>
      </c>
      <c r="I24" s="2">
        <f t="shared" si="0"/>
        <v>0.43856449853411605</v>
      </c>
      <c r="J24" s="17">
        <v>358.4</v>
      </c>
      <c r="K24" s="33"/>
      <c r="L24" s="9">
        <v>37.590000000000003</v>
      </c>
      <c r="M24" s="22"/>
      <c r="N24" s="24"/>
      <c r="O24" s="20"/>
    </row>
    <row r="25" spans="1:15" ht="20" customHeight="1" x14ac:dyDescent="0.3">
      <c r="A25" s="34" t="s">
        <v>8</v>
      </c>
      <c r="B25" s="13" t="s">
        <v>14</v>
      </c>
      <c r="C25" s="10" t="s">
        <v>33</v>
      </c>
      <c r="D25" s="11"/>
      <c r="E25" s="11"/>
      <c r="F25" s="11"/>
      <c r="G25" s="12">
        <v>188.82</v>
      </c>
      <c r="H25" s="6">
        <v>572.51672005653302</v>
      </c>
      <c r="I25" s="2">
        <f t="shared" si="0"/>
        <v>0.67019303823763432</v>
      </c>
      <c r="J25" s="17">
        <v>136.30000000000001</v>
      </c>
      <c r="K25" s="35">
        <f t="shared" ref="K25" si="28">J25*2+J26*2</f>
        <v>761.8</v>
      </c>
      <c r="L25" s="9">
        <v>32.479999999999997</v>
      </c>
      <c r="M25" s="21">
        <v>153.16</v>
      </c>
      <c r="N25" s="23">
        <f t="shared" ref="N25" si="29">L25+L26+M25</f>
        <v>217.20999999999998</v>
      </c>
      <c r="O25" s="19">
        <f t="shared" ref="O25" si="30">(K25-N25)/K25</f>
        <v>0.71487266999212384</v>
      </c>
    </row>
    <row r="26" spans="1:15" ht="20" customHeight="1" x14ac:dyDescent="0.3">
      <c r="A26" s="34"/>
      <c r="B26" s="14" t="s">
        <v>15</v>
      </c>
      <c r="C26" s="9">
        <v>9</v>
      </c>
      <c r="D26" s="9"/>
      <c r="E26" s="9"/>
      <c r="F26" s="9"/>
      <c r="G26" s="9">
        <v>186.55</v>
      </c>
      <c r="H26" s="6">
        <v>306.44631433486899</v>
      </c>
      <c r="I26" s="2">
        <f t="shared" si="0"/>
        <v>0.39124736936418941</v>
      </c>
      <c r="J26" s="17">
        <v>244.6</v>
      </c>
      <c r="K26" s="35"/>
      <c r="L26" s="9">
        <v>31.57</v>
      </c>
      <c r="M26" s="22"/>
      <c r="N26" s="24"/>
      <c r="O26" s="20"/>
    </row>
  </sheetData>
  <mergeCells count="59">
    <mergeCell ref="A23:A24"/>
    <mergeCell ref="K23:K24"/>
    <mergeCell ref="A25:A26"/>
    <mergeCell ref="K25:K26"/>
    <mergeCell ref="A19:A20"/>
    <mergeCell ref="K19:K20"/>
    <mergeCell ref="A21:A22"/>
    <mergeCell ref="K21:K22"/>
    <mergeCell ref="A13:A14"/>
    <mergeCell ref="K13:K14"/>
    <mergeCell ref="A15:A16"/>
    <mergeCell ref="K15:K16"/>
    <mergeCell ref="A17:A18"/>
    <mergeCell ref="K17:K18"/>
    <mergeCell ref="A7:A8"/>
    <mergeCell ref="K7:K8"/>
    <mergeCell ref="A9:A10"/>
    <mergeCell ref="K9:K10"/>
    <mergeCell ref="A11:A12"/>
    <mergeCell ref="K11:K12"/>
    <mergeCell ref="A1:O1"/>
    <mergeCell ref="A2:I2"/>
    <mergeCell ref="A3:I3"/>
    <mergeCell ref="J3:O3"/>
    <mergeCell ref="A5:A6"/>
    <mergeCell ref="K5:K6"/>
    <mergeCell ref="M5:M6"/>
    <mergeCell ref="N5:N6"/>
    <mergeCell ref="O5:O6"/>
    <mergeCell ref="N7:N8"/>
    <mergeCell ref="N9:N10"/>
    <mergeCell ref="N11:N12"/>
    <mergeCell ref="N13:N14"/>
    <mergeCell ref="N15:N16"/>
    <mergeCell ref="N17:N18"/>
    <mergeCell ref="M7:M8"/>
    <mergeCell ref="M9:M10"/>
    <mergeCell ref="M11:M12"/>
    <mergeCell ref="M13:M14"/>
    <mergeCell ref="M15:M16"/>
    <mergeCell ref="M17:M18"/>
    <mergeCell ref="O17:O18"/>
    <mergeCell ref="O7:O8"/>
    <mergeCell ref="O9:O10"/>
    <mergeCell ref="O11:O12"/>
    <mergeCell ref="O13:O14"/>
    <mergeCell ref="O15:O16"/>
    <mergeCell ref="O23:O24"/>
    <mergeCell ref="O25:O26"/>
    <mergeCell ref="M19:M20"/>
    <mergeCell ref="M21:M22"/>
    <mergeCell ref="M23:M24"/>
    <mergeCell ref="M25:M26"/>
    <mergeCell ref="O19:O20"/>
    <mergeCell ref="O21:O22"/>
    <mergeCell ref="N19:N20"/>
    <mergeCell ref="N21:N22"/>
    <mergeCell ref="N23:N24"/>
    <mergeCell ref="N25:N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（飞+昇）2v1（昇）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xwchen</dc:creator>
  <cp:lastModifiedBy>松彦 陈</cp:lastModifiedBy>
  <dcterms:created xsi:type="dcterms:W3CDTF">2015-06-05T18:19:34Z</dcterms:created>
  <dcterms:modified xsi:type="dcterms:W3CDTF">2026-06-09T06:31:04Z</dcterms:modified>
</cp:coreProperties>
</file>